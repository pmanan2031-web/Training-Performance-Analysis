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154ba8799d0453/Desktop/mock practical/"/>
    </mc:Choice>
  </mc:AlternateContent>
  <xr:revisionPtr revIDLastSave="130" documentId="8_{76227E75-C320-4C88-9548-6B8F14407F7F}" xr6:coauthVersionLast="47" xr6:coauthVersionMax="47" xr10:uidLastSave="{28810DBE-5CF3-4401-9BD3-4211E978720C}"/>
  <bookViews>
    <workbookView xWindow="-108" yWindow="-108" windowWidth="23256" windowHeight="12456" xr2:uid="{940C922A-A0E5-4C32-9A2A-598A9CB29A22}"/>
  </bookViews>
  <sheets>
    <sheet name="Row" sheetId="2" r:id="rId1"/>
    <sheet name="Lookup" sheetId="3" r:id="rId2"/>
    <sheet name="Clean" sheetId="1" r:id="rId3"/>
    <sheet name="Summary" sheetId="4" r:id="rId4"/>
  </sheets>
  <definedNames>
    <definedName name="ExternalData_1" localSheetId="2" hidden="1">Clean!$A$1:$F$13</definedName>
    <definedName name="ExternalData_1" localSheetId="1" hidden="1">Lookup!$A$1:$C$7</definedName>
    <definedName name="ExternalData_1" localSheetId="0" hidden="1">Row!$A$1:$F$14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H2" i="1"/>
  <c r="H3" i="1"/>
  <c r="H4" i="1"/>
  <c r="H5" i="1"/>
  <c r="H6" i="1"/>
  <c r="H7" i="1"/>
  <c r="H8" i="1"/>
  <c r="H9" i="1"/>
  <c r="H10" i="1"/>
  <c r="H11" i="1"/>
  <c r="H12" i="1"/>
  <c r="H13" i="1"/>
  <c r="G2" i="1"/>
  <c r="G3" i="1"/>
  <c r="G4" i="1"/>
  <c r="G5" i="1"/>
  <c r="G6" i="1"/>
  <c r="G7" i="1"/>
  <c r="G8" i="1"/>
  <c r="G9" i="1"/>
  <c r="G10" i="1"/>
  <c r="G11" i="1"/>
  <c r="G12" i="1"/>
  <c r="G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911447-7132-4CC4-BAE1-C77167222727}" keepAlive="1" name="Query - assessments" description="Connection to the 'assessments' query in the workbook." type="5" refreshedVersion="8" background="1" saveData="1">
    <dbPr connection="Provider=Microsoft.Mashup.OleDb.1;Data Source=$Workbook$;Location=assessments;Extended Properties=&quot;&quot;" command="SELECT * FROM [assessments]"/>
  </connection>
  <connection id="2" xr16:uid="{D6A29B0A-2DF6-48AC-BB5A-4814A2DED544}" keepAlive="1" name="Query - assessments (2)" description="Connection to the 'assessments (2)' query in the workbook." type="5" refreshedVersion="8" background="1" saveData="1">
    <dbPr connection="Provider=Microsoft.Mashup.OleDb.1;Data Source=$Workbook$;Location=&quot;assessments (2)&quot;;Extended Properties=&quot;&quot;" command="SELECT * FROM [assessments (2)]"/>
  </connection>
  <connection id="3" xr16:uid="{F44EFE0A-D521-4863-BAFA-DDF60BB8B401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</connections>
</file>

<file path=xl/sharedStrings.xml><?xml version="1.0" encoding="utf-8"?>
<sst xmlns="http://schemas.openxmlformats.org/spreadsheetml/2006/main" count="131" uniqueCount="41">
  <si>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</si>
  <si>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</si>
  <si>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</si>
  <si>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</si>
  <si>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</si>
  <si>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</si>
  <si>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</si>
  <si>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</si>
  <si>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</si>
  <si>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</si>
  <si>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</si>
  <si>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</si>
  <si>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</si>
  <si>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</si>
  <si>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</si>
  <si>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</si>
  <si>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Column1</t>
  </si>
  <si>
    <t>Column2</t>
  </si>
  <si>
    <t>Column3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</si>
  <si>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</si>
  <si>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</si>
  <si>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</si>
  <si>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</si>
  <si>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</si>
  <si>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</si>
  <si>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</si>
  <si>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</si>
  <si>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/>
  </si>
  <si>
    <t>Description</t>
  </si>
  <si>
    <t>Count</t>
  </si>
  <si>
    <t>Before duplicate removal</t>
  </si>
  <si>
    <t>After duplicate removal</t>
  </si>
  <si>
    <t>pass_flag</t>
  </si>
  <si>
    <t>Batch Summary</t>
  </si>
  <si>
    <t>Batch</t>
  </si>
  <si>
    <t>Passing Assessments</t>
  </si>
  <si>
    <t>Row Labels</t>
  </si>
  <si>
    <t>Grand Total</t>
  </si>
  <si>
    <t>Column Labels</t>
  </si>
  <si>
    <t>Average of score</t>
  </si>
  <si>
    <t xml:space="preserve"> Average Score by Department and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</si>
</sst>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4"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510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[Book1.xlsx]Summary!PivotTable1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Summary!$B$9:$B$10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Summary!$B$11:$B$13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C-46D2-99B2-B644B508114E}"/>
            </c:ext>
          </c:extLst>
        </c:ser>
        <c:ser>
          <c:idx val="1"/>
          <c:order val="1"/>
          <c:tx>
            <c:strRef>
              <c:f>Summary!$C$9:$C$10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Summary!$C$11:$C$13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C-46D2-99B2-B644B508114E}"/>
            </c:ext>
          </c:extLst>
        </c:ser>
        <c:ser>
          <c:idx val="2"/>
          <c:order val="2"/>
          <c:tx>
            <c:strRef>
              <c:f>Summary!$D$9:$D$10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Summary!$D$11:$D$13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C-46D2-99B2-B644B5081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818591"/>
        <c:axId val="209536143"/>
      </c:barChart>
      <c:catAx>
        <c:axId val="13348185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36143"/>
        <c:crosses val="autoZero"/>
        <c:auto val="1"/>
        <c:lblAlgn val="ctr"/>
        <c:lblOffset val="100"/>
        <c:noMultiLvlLbl val="0"/>
      </c:catAx>
      <c:valAx>
        <c:axId val="2095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81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14</xdr:row>
      <xdr:rowOff>7620</xdr:rowOff>
    </xdr:from>
    <xdr:to>
      <xdr:col>4</xdr:col>
      <xdr:colOff>297180</xdr:colOff>
      <xdr:row>26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04CF4-C3D6-C143-0E15-B813F155E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N PATEL" refreshedDate="46291.542232175925" createdVersion="8" refreshedVersion="8" minRefreshableVersion="3" recordCount="12" xr:uid="{B53A645D-3387-46C2-A6B3-A5A5B32F201D}">
  <cacheSource type="worksheet">
    <worksheetSource name="assessments4"/>
  </cacheSource>
  <cacheFields count="8">
    <cacheField name="assessmen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0">
      <sharedItems/>
    </cacheField>
    <cacheField name="score" numFmtId="2">
      <sharedItems containsSemiMixedTypes="0" containsString="0" containsNumber="1" containsInteger="1" minValue="38" maxValue="90"/>
    </cacheField>
    <cacheField name="attendance_pct" numFmtId="2">
      <sharedItems containsSemiMixedTypes="0" containsString="0" containsNumber="1" containsInteger="1" minValue="60" maxValue="98"/>
    </cacheField>
    <cacheField name="department" numFmtId="0">
      <sharedItems count="2">
        <s v="Business"/>
        <s v="Technology"/>
      </sharedItems>
    </cacheField>
    <cacheField name="pass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1"/>
    <n v="1"/>
  </r>
  <r>
    <n v="4"/>
    <x v="0"/>
    <s v="C4"/>
    <s v="Weekend"/>
    <n v="38"/>
    <n v="60"/>
    <x v="1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1"/>
    <n v="0"/>
  </r>
  <r>
    <n v="8"/>
    <x v="1"/>
    <s v="C4"/>
    <s v="Evening"/>
    <n v="68"/>
    <n v="88"/>
    <x v="1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1"/>
    <n v="1"/>
  </r>
  <r>
    <n v="12"/>
    <x v="2"/>
    <s v="C4"/>
    <s v="Weekend"/>
    <n v="42"/>
    <n v="6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64D94-5DED-4874-8CC6-AA3B3BDC6AC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9:E13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0" baseItem="0" numFmtId="2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42654F-0EAA-484A-8EE4-F5AADC481F94}" autoFormatId="16" applyNumberFormats="0" applyBorderFormats="0" applyFontFormats="0" applyPatternFormats="0" applyAlignmentFormats="0" applyWidthHeightFormats="0">
  <queryTableRefresh nextId="7">
    <queryTableFields count="6">
      <queryTableField id="1" name="assessment_id" tableColumnId="1"/>
      <queryTableField id="2" name="month" tableColumnId="2"/>
      <queryTableField id="3" name="course_id" tableColumnId="3"/>
      <queryTableField id="4" name="batch" tableColumnId="4"/>
      <queryTableField id="5" name="score" tableColumnId="5"/>
      <queryTableField id="6" name="attendance_p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216C318-9D0A-4D0A-AAA6-81B5C50E982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A06A7B-7747-4EB0-99DE-73342F76E45F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assessment_id" tableColumnId="1"/>
      <queryTableField id="2" name="month" tableColumnId="2"/>
      <queryTableField id="3" name="course_id" tableColumnId="3"/>
      <queryTableField id="4" name="batch" tableColumnId="4"/>
      <queryTableField id="5" name="score" tableColumnId="5"/>
      <queryTableField id="6" name="attendance_pct" tableColumnId="6"/>
      <queryTableField id="7" dataBound="0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6CB6C-0C31-4A97-A8EA-6EC75F08A00A}" name="assessments" displayName="assessments" ref="A1:F14" tableType="queryTable" totalsRowShown="0">
  <autoFilter ref="A1:F14" xr:uid="{4306CB6C-0C31-4A97-A8EA-6EC75F08A00A}"/>
  <tableColumns count="6">
    <tableColumn id="1" xr3:uid="{9069FAE5-BBE4-4AB3-B6A1-C6A7FD2DFEE1}" uniqueName="1" name="assessment_id" queryTableFieldId="1"/>
    <tableColumn id="2" xr3:uid="{7BD67FBC-8F2D-469C-B12A-6A682E4EFED5}" uniqueName="2" name="month" queryTableFieldId="2" dataDxfId="13"/>
    <tableColumn id="3" xr3:uid="{F60FA36B-3336-47C3-AF09-607BDEC8568D}" uniqueName="3" name="course_id" queryTableFieldId="3" dataDxfId="12"/>
    <tableColumn id="4" xr3:uid="{AD081B86-3287-47F1-844C-E23308EA5B5C}" uniqueName="4" name="batch" queryTableFieldId="4" dataDxfId="11"/>
    <tableColumn id="5" xr3:uid="{787BF9EA-0D6B-42B1-83DC-AA9B3F04CA12}" uniqueName="5" name="score" queryTableFieldId="5"/>
    <tableColumn id="6" xr3:uid="{93FBA327-5237-4B6F-A1C2-DC61DF90607F}" uniqueName="6" name="attendance_pct" queryTableFieldId="6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EF3B13-6A40-4643-938B-F1A98C4F1234}" name="courses" displayName="courses" ref="A1:C7" tableType="queryTable" totalsRowShown="0">
  <autoFilter ref="A1:C7" xr:uid="{D5EF3B13-6A40-4643-938B-F1A98C4F1234}"/>
  <tableColumns count="3">
    <tableColumn id="1" xr3:uid="{375946E2-6D9D-4E66-9726-1E8B8A4297A2}" uniqueName="1" name="Column1" queryTableFieldId="1" dataDxfId="10"/>
    <tableColumn id="2" xr3:uid="{14B35CAE-BF9A-4ED4-BC40-71DFC4C2C985}" uniqueName="2" name="Column2" queryTableFieldId="2" dataDxfId="9"/>
    <tableColumn id="3" xr3:uid="{B35CE9A5-E886-4219-ACDD-2A21E6D4D1D0}" uniqueName="3" name="Column3" queryTableFieldId="3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93BFEC-776D-4F6E-9673-267C74FE062B}" name="assessments4" displayName="assessments4" ref="A1:H13" tableType="queryTable" totalsRowShown="0">
  <autoFilter ref="A1:H13" xr:uid="{7593BFEC-776D-4F6E-9673-267C74FE062B}"/>
  <tableColumns count="8">
    <tableColumn id="1" xr3:uid="{1FC2E8DE-22F5-4A89-B51A-52D7A8A935CB}" uniqueName="1" name="assessment_id" queryTableFieldId="1" dataDxfId="4"/>
    <tableColumn id="2" xr3:uid="{ABFC43F2-31DC-49C6-8068-3BFE434599BF}" uniqueName="2" name="month" queryTableFieldId="2" dataDxfId="5"/>
    <tableColumn id="3" xr3:uid="{4B4FA792-75FD-4C9E-8760-CA15EF59139C}" uniqueName="3" name="course_id" queryTableFieldId="3" dataDxfId="7"/>
    <tableColumn id="4" xr3:uid="{1F7177CC-6318-400C-B73A-EB67E37DFC65}" uniqueName="4" name="batch" queryTableFieldId="4" dataDxfId="6"/>
    <tableColumn id="5" xr3:uid="{BC7BFE8C-20C9-44BE-B968-A65C9A52F314}" uniqueName="5" name="score" queryTableFieldId="5" dataDxfId="3"/>
    <tableColumn id="6" xr3:uid="{CAA874EE-A17E-4D76-B47D-EE204B73FE4C}" uniqueName="6" name="attendance_pct" queryTableFieldId="6" dataDxfId="1"/>
    <tableColumn id="7" xr3:uid="{68CF4023-295C-443A-B8C5-D64B04933172}" uniqueName="7" name="department" queryTableFieldId="7" dataDxfId="2">
      <calculatedColumnFormula>_xlfn.XLOOKUP(C2,Lookup!$A$3:$A$6,Lookup!$C$3:$C$6,"Not Found")</calculatedColumnFormula>
    </tableColumn>
    <tableColumn id="9" xr3:uid="{DED0F916-4299-4731-96A8-F630C9DA1DBD}" uniqueName="9" name="pass_flag" queryTableFieldId="9" dataDxfId="0">
      <calculatedColumnFormula>IF(E2&gt;=50,1,0)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CB26-98AD-4D19-B77E-3669827DFB6F}">
  <sheetPr>
    <tabColor rgb="FF751005"/>
  </sheetPr>
  <dimension ref="A1:F14"/>
  <sheetViews>
    <sheetView tabSelected="1" workbookViewId="0">
      <selection activeCell="I20" sqref="I20"/>
    </sheetView>
  </sheetViews>
  <sheetFormatPr defaultRowHeight="14.4" x14ac:dyDescent="0.3"/>
  <cols>
    <col min="1" max="1" width="15.44140625" bestFit="1" customWidth="1"/>
    <col min="3" max="3" width="11.33203125" bestFit="1" customWidth="1"/>
    <col min="4" max="4" width="8.6640625" bestFit="1" customWidth="1"/>
    <col min="5" max="5" width="7.6640625" bestFit="1" customWidth="1"/>
    <col min="6" max="6" width="1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72</v>
      </c>
      <c r="F2">
        <v>90</v>
      </c>
    </row>
    <row r="3" spans="1:6" x14ac:dyDescent="0.3">
      <c r="A3">
        <v>2</v>
      </c>
      <c r="B3" s="1" t="s">
        <v>6</v>
      </c>
      <c r="C3" s="1" t="s">
        <v>9</v>
      </c>
      <c r="D3" s="1" t="s">
        <v>10</v>
      </c>
      <c r="E3">
        <v>45</v>
      </c>
      <c r="F3">
        <v>70</v>
      </c>
    </row>
    <row r="4" spans="1:6" x14ac:dyDescent="0.3">
      <c r="A4">
        <v>3</v>
      </c>
      <c r="B4" s="1" t="s">
        <v>6</v>
      </c>
      <c r="C4" s="1" t="s">
        <v>11</v>
      </c>
      <c r="D4" s="1" t="s">
        <v>8</v>
      </c>
      <c r="E4">
        <v>65</v>
      </c>
      <c r="F4">
        <v>85</v>
      </c>
    </row>
    <row r="5" spans="1:6" x14ac:dyDescent="0.3">
      <c r="A5">
        <v>4</v>
      </c>
      <c r="B5" s="1" t="s">
        <v>6</v>
      </c>
      <c r="C5" s="1" t="s">
        <v>12</v>
      </c>
      <c r="D5" s="1" t="s">
        <v>13</v>
      </c>
      <c r="E5">
        <v>38</v>
      </c>
      <c r="F5">
        <v>60</v>
      </c>
    </row>
    <row r="6" spans="1:6" x14ac:dyDescent="0.3">
      <c r="A6">
        <v>5</v>
      </c>
      <c r="B6" s="1" t="s">
        <v>14</v>
      </c>
      <c r="C6" s="1" t="s">
        <v>7</v>
      </c>
      <c r="D6" s="1" t="s">
        <v>10</v>
      </c>
      <c r="E6">
        <v>80</v>
      </c>
      <c r="F6">
        <v>95</v>
      </c>
    </row>
    <row r="7" spans="1:6" x14ac:dyDescent="0.3">
      <c r="A7">
        <v>6</v>
      </c>
      <c r="B7" s="1" t="s">
        <v>14</v>
      </c>
      <c r="C7" s="1" t="s">
        <v>9</v>
      </c>
      <c r="D7" s="1" t="s">
        <v>13</v>
      </c>
      <c r="E7">
        <v>55</v>
      </c>
      <c r="F7">
        <v>80</v>
      </c>
    </row>
    <row r="8" spans="1:6" x14ac:dyDescent="0.3">
      <c r="A8">
        <v>7</v>
      </c>
      <c r="B8" s="1" t="s">
        <v>14</v>
      </c>
      <c r="C8" s="1" t="s">
        <v>11</v>
      </c>
      <c r="D8" s="1" t="s">
        <v>8</v>
      </c>
      <c r="E8">
        <v>48</v>
      </c>
      <c r="F8">
        <v>75</v>
      </c>
    </row>
    <row r="9" spans="1:6" x14ac:dyDescent="0.3">
      <c r="A9">
        <v>8</v>
      </c>
      <c r="B9" s="1" t="s">
        <v>14</v>
      </c>
      <c r="C9" s="1" t="s">
        <v>12</v>
      </c>
      <c r="D9" s="1" t="s">
        <v>10</v>
      </c>
      <c r="E9">
        <v>68</v>
      </c>
      <c r="F9">
        <v>88</v>
      </c>
    </row>
    <row r="10" spans="1:6" x14ac:dyDescent="0.3">
      <c r="A10">
        <v>9</v>
      </c>
      <c r="B10" s="1" t="s">
        <v>15</v>
      </c>
      <c r="C10" s="1" t="s">
        <v>7</v>
      </c>
      <c r="D10" s="1" t="s">
        <v>13</v>
      </c>
      <c r="E10">
        <v>90</v>
      </c>
      <c r="F10">
        <v>98</v>
      </c>
    </row>
    <row r="11" spans="1:6" x14ac:dyDescent="0.3">
      <c r="A11">
        <v>10</v>
      </c>
      <c r="B11" s="1" t="s">
        <v>15</v>
      </c>
      <c r="C11" s="1" t="s">
        <v>9</v>
      </c>
      <c r="D11" s="1" t="s">
        <v>8</v>
      </c>
      <c r="E11">
        <v>60</v>
      </c>
      <c r="F11">
        <v>82</v>
      </c>
    </row>
    <row r="12" spans="1:6" x14ac:dyDescent="0.3">
      <c r="A12">
        <v>11</v>
      </c>
      <c r="B12" s="1" t="s">
        <v>15</v>
      </c>
      <c r="C12" s="1" t="s">
        <v>11</v>
      </c>
      <c r="D12" s="1" t="s">
        <v>10</v>
      </c>
      <c r="E12">
        <v>75</v>
      </c>
      <c r="F12">
        <v>92</v>
      </c>
    </row>
    <row r="13" spans="1:6" x14ac:dyDescent="0.3">
      <c r="A13">
        <v>12</v>
      </c>
      <c r="B13" s="1" t="s">
        <v>15</v>
      </c>
      <c r="C13" s="1" t="s">
        <v>12</v>
      </c>
      <c r="D13" s="1" t="s">
        <v>13</v>
      </c>
      <c r="E13">
        <v>42</v>
      </c>
      <c r="F13">
        <v>65</v>
      </c>
    </row>
    <row r="14" spans="1:6" x14ac:dyDescent="0.3">
      <c r="A14">
        <v>12</v>
      </c>
      <c r="B14" s="1" t="s">
        <v>15</v>
      </c>
      <c r="C14" s="1" t="s">
        <v>12</v>
      </c>
      <c r="D14" s="1" t="s">
        <v>13</v>
      </c>
      <c r="E14">
        <v>42</v>
      </c>
      <c r="F14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C59D-65D2-46C0-B934-17137F76031D}">
  <sheetPr>
    <tabColor theme="5" tint="-0.249977111117893"/>
  </sheetPr>
  <dimension ref="A1:C7"/>
  <sheetViews>
    <sheetView workbookViewId="0">
      <selection activeCell="M24" sqref="M24"/>
    </sheetView>
  </sheetViews>
  <sheetFormatPr defaultRowHeight="14.4" x14ac:dyDescent="0.3"/>
  <cols>
    <col min="1" max="3" width="10.77734375" bestFit="1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s="1" t="s">
        <v>2</v>
      </c>
      <c r="B2" s="1" t="s">
        <v>19</v>
      </c>
      <c r="C2" s="1" t="s">
        <v>20</v>
      </c>
    </row>
    <row r="3" spans="1:3" x14ac:dyDescent="0.3">
      <c r="A3" s="1" t="s">
        <v>7</v>
      </c>
      <c r="B3" s="1" t="s">
        <v>21</v>
      </c>
      <c r="C3" s="1" t="s">
        <v>22</v>
      </c>
    </row>
    <row r="4" spans="1:3" x14ac:dyDescent="0.3">
      <c r="A4" s="1" t="s">
        <v>9</v>
      </c>
      <c r="B4" s="1" t="s">
        <v>23</v>
      </c>
      <c r="C4" s="1" t="s">
        <v>22</v>
      </c>
    </row>
    <row r="5" spans="1:3" x14ac:dyDescent="0.3">
      <c r="A5" s="1" t="s">
        <v>11</v>
      </c>
      <c r="B5" s="1" t="s">
        <v>24</v>
      </c>
      <c r="C5" s="1" t="s">
        <v>25</v>
      </c>
    </row>
    <row r="6" spans="1:3" x14ac:dyDescent="0.3">
      <c r="A6" s="1" t="s">
        <v>12</v>
      </c>
      <c r="B6" s="1" t="s">
        <v>26</v>
      </c>
      <c r="C6" s="1" t="s">
        <v>25</v>
      </c>
    </row>
    <row r="7" spans="1:3" x14ac:dyDescent="0.3">
      <c r="A7" s="1" t="s">
        <v>27</v>
      </c>
      <c r="B7" s="1" t="s">
        <v>27</v>
      </c>
      <c r="C7" s="1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335A-F1B8-42BB-B7F1-1D5E35C59192}">
  <sheetPr>
    <tabColor theme="9" tint="-0.249977111117893"/>
  </sheetPr>
  <dimension ref="A1:H19"/>
  <sheetViews>
    <sheetView workbookViewId="0">
      <selection activeCell="E24" sqref="E24"/>
    </sheetView>
  </sheetViews>
  <sheetFormatPr defaultRowHeight="14.4" x14ac:dyDescent="0.3"/>
  <cols>
    <col min="1" max="1" width="15.44140625" bestFit="1" customWidth="1"/>
    <col min="3" max="3" width="11.33203125" bestFit="1" customWidth="1"/>
    <col min="4" max="4" width="8.6640625" bestFit="1" customWidth="1"/>
    <col min="5" max="5" width="7.6640625" bestFit="1" customWidth="1"/>
    <col min="6" max="6" width="16.5546875" bestFit="1" customWidth="1"/>
    <col min="7" max="7" width="13.21875" customWidth="1"/>
    <col min="8" max="8" width="14.33203125" customWidth="1"/>
  </cols>
  <sheetData>
    <row r="1" spans="1:8" x14ac:dyDescent="0.3">
      <c r="A1" s="4" t="s">
        <v>0</v>
      </c>
      <c r="B1" s="5" t="s">
        <v>1</v>
      </c>
      <c r="C1" s="4" t="s">
        <v>2</v>
      </c>
      <c r="D1" t="s">
        <v>3</v>
      </c>
      <c r="E1" s="4" t="s">
        <v>4</v>
      </c>
      <c r="F1" s="4" t="s">
        <v>5</v>
      </c>
      <c r="G1" t="s">
        <v>20</v>
      </c>
      <c r="H1" t="s">
        <v>32</v>
      </c>
    </row>
    <row r="2" spans="1:8" x14ac:dyDescent="0.3">
      <c r="A2" s="1">
        <v>1</v>
      </c>
      <c r="B2" s="1" t="s">
        <v>6</v>
      </c>
      <c r="C2" s="1" t="s">
        <v>7</v>
      </c>
      <c r="D2" s="1" t="s">
        <v>8</v>
      </c>
      <c r="E2" s="4">
        <v>72</v>
      </c>
      <c r="F2" s="4">
        <v>90</v>
      </c>
      <c r="G2" s="1" t="str">
        <f>_xlfn.XLOOKUP(C2,Lookup!$A$3:$A$6,Lookup!$C$3:$C$6,"Not Found")</f>
        <v>Business</v>
      </c>
      <c r="H2" s="1">
        <f t="shared" ref="H2:H13" si="0">IF(E2&gt;=50,1,0)</f>
        <v>1</v>
      </c>
    </row>
    <row r="3" spans="1:8" x14ac:dyDescent="0.3">
      <c r="A3" s="1">
        <v>2</v>
      </c>
      <c r="B3" s="1" t="s">
        <v>6</v>
      </c>
      <c r="C3" s="1" t="s">
        <v>9</v>
      </c>
      <c r="D3" s="1" t="s">
        <v>10</v>
      </c>
      <c r="E3" s="4">
        <v>45</v>
      </c>
      <c r="F3" s="4">
        <v>70</v>
      </c>
      <c r="G3" s="1" t="str">
        <f>_xlfn.XLOOKUP(C3,Lookup!$A$3:$A$6,Lookup!$C$3:$C$6,"Not Found")</f>
        <v>Business</v>
      </c>
      <c r="H3" s="1">
        <f t="shared" si="0"/>
        <v>0</v>
      </c>
    </row>
    <row r="4" spans="1:8" x14ac:dyDescent="0.3">
      <c r="A4" s="1">
        <v>3</v>
      </c>
      <c r="B4" s="1" t="s">
        <v>6</v>
      </c>
      <c r="C4" s="1" t="s">
        <v>11</v>
      </c>
      <c r="D4" s="1" t="s">
        <v>8</v>
      </c>
      <c r="E4" s="4">
        <v>65</v>
      </c>
      <c r="F4" s="4">
        <v>85</v>
      </c>
      <c r="G4" s="1" t="str">
        <f>_xlfn.XLOOKUP(C4,Lookup!$A$3:$A$6,Lookup!$C$3:$C$6,"Not Found")</f>
        <v>Technology</v>
      </c>
      <c r="H4" s="1">
        <f t="shared" si="0"/>
        <v>1</v>
      </c>
    </row>
    <row r="5" spans="1:8" x14ac:dyDescent="0.3">
      <c r="A5" s="1">
        <v>4</v>
      </c>
      <c r="B5" s="1" t="s">
        <v>6</v>
      </c>
      <c r="C5" s="1" t="s">
        <v>12</v>
      </c>
      <c r="D5" s="1" t="s">
        <v>13</v>
      </c>
      <c r="E5" s="4">
        <v>38</v>
      </c>
      <c r="F5" s="4">
        <v>60</v>
      </c>
      <c r="G5" s="1" t="str">
        <f>_xlfn.XLOOKUP(C5,Lookup!$A$3:$A$6,Lookup!$C$3:$C$6,"Not Found")</f>
        <v>Technology</v>
      </c>
      <c r="H5" s="1">
        <f t="shared" si="0"/>
        <v>0</v>
      </c>
    </row>
    <row r="6" spans="1:8" x14ac:dyDescent="0.3">
      <c r="A6" s="1">
        <v>5</v>
      </c>
      <c r="B6" s="1" t="s">
        <v>14</v>
      </c>
      <c r="C6" s="1" t="s">
        <v>7</v>
      </c>
      <c r="D6" s="1" t="s">
        <v>10</v>
      </c>
      <c r="E6" s="4">
        <v>80</v>
      </c>
      <c r="F6" s="4">
        <v>95</v>
      </c>
      <c r="G6" s="1" t="str">
        <f>_xlfn.XLOOKUP(C6,Lookup!$A$3:$A$6,Lookup!$C$3:$C$6,"Not Found")</f>
        <v>Business</v>
      </c>
      <c r="H6" s="1">
        <f t="shared" si="0"/>
        <v>1</v>
      </c>
    </row>
    <row r="7" spans="1:8" x14ac:dyDescent="0.3">
      <c r="A7" s="1">
        <v>6</v>
      </c>
      <c r="B7" s="1" t="s">
        <v>14</v>
      </c>
      <c r="C7" s="1" t="s">
        <v>9</v>
      </c>
      <c r="D7" s="1" t="s">
        <v>13</v>
      </c>
      <c r="E7" s="4">
        <v>55</v>
      </c>
      <c r="F7" s="4">
        <v>80</v>
      </c>
      <c r="G7" s="1" t="str">
        <f>_xlfn.XLOOKUP(C7,Lookup!$A$3:$A$6,Lookup!$C$3:$C$6,"Not Found")</f>
        <v>Business</v>
      </c>
      <c r="H7" s="1">
        <f t="shared" si="0"/>
        <v>1</v>
      </c>
    </row>
    <row r="8" spans="1:8" x14ac:dyDescent="0.3">
      <c r="A8" s="1">
        <v>7</v>
      </c>
      <c r="B8" s="1" t="s">
        <v>14</v>
      </c>
      <c r="C8" s="1" t="s">
        <v>11</v>
      </c>
      <c r="D8" s="1" t="s">
        <v>8</v>
      </c>
      <c r="E8" s="4">
        <v>48</v>
      </c>
      <c r="F8" s="4">
        <v>75</v>
      </c>
      <c r="G8" s="1" t="str">
        <f>_xlfn.XLOOKUP(C8,Lookup!$A$3:$A$6,Lookup!$C$3:$C$6,"Not Found")</f>
        <v>Technology</v>
      </c>
      <c r="H8" s="1">
        <f t="shared" si="0"/>
        <v>0</v>
      </c>
    </row>
    <row r="9" spans="1:8" x14ac:dyDescent="0.3">
      <c r="A9" s="1">
        <v>8</v>
      </c>
      <c r="B9" s="1" t="s">
        <v>14</v>
      </c>
      <c r="C9" s="1" t="s">
        <v>12</v>
      </c>
      <c r="D9" s="1" t="s">
        <v>10</v>
      </c>
      <c r="E9" s="4">
        <v>68</v>
      </c>
      <c r="F9" s="4">
        <v>88</v>
      </c>
      <c r="G9" s="1" t="str">
        <f>_xlfn.XLOOKUP(C9,Lookup!$A$3:$A$6,Lookup!$C$3:$C$6,"Not Found")</f>
        <v>Technology</v>
      </c>
      <c r="H9" s="1">
        <f t="shared" si="0"/>
        <v>1</v>
      </c>
    </row>
    <row r="10" spans="1:8" x14ac:dyDescent="0.3">
      <c r="A10" s="1">
        <v>9</v>
      </c>
      <c r="B10" s="1" t="s">
        <v>15</v>
      </c>
      <c r="C10" s="1" t="s">
        <v>7</v>
      </c>
      <c r="D10" s="1" t="s">
        <v>13</v>
      </c>
      <c r="E10" s="4">
        <v>90</v>
      </c>
      <c r="F10" s="4">
        <v>98</v>
      </c>
      <c r="G10" s="1" t="str">
        <f>_xlfn.XLOOKUP(C10,Lookup!$A$3:$A$6,Lookup!$C$3:$C$6,"Not Found")</f>
        <v>Business</v>
      </c>
      <c r="H10" s="1">
        <f t="shared" si="0"/>
        <v>1</v>
      </c>
    </row>
    <row r="11" spans="1:8" x14ac:dyDescent="0.3">
      <c r="A11" s="1">
        <v>10</v>
      </c>
      <c r="B11" s="1" t="s">
        <v>15</v>
      </c>
      <c r="C11" s="1" t="s">
        <v>9</v>
      </c>
      <c r="D11" s="1" t="s">
        <v>8</v>
      </c>
      <c r="E11" s="4">
        <v>60</v>
      </c>
      <c r="F11" s="4">
        <v>82</v>
      </c>
      <c r="G11" s="1" t="str">
        <f>_xlfn.XLOOKUP(C11,Lookup!$A$3:$A$6,Lookup!$C$3:$C$6,"Not Found")</f>
        <v>Business</v>
      </c>
      <c r="H11" s="1">
        <f t="shared" si="0"/>
        <v>1</v>
      </c>
    </row>
    <row r="12" spans="1:8" x14ac:dyDescent="0.3">
      <c r="A12" s="1">
        <v>11</v>
      </c>
      <c r="B12" s="1" t="s">
        <v>15</v>
      </c>
      <c r="C12" s="1" t="s">
        <v>11</v>
      </c>
      <c r="D12" s="1" t="s">
        <v>10</v>
      </c>
      <c r="E12" s="4">
        <v>75</v>
      </c>
      <c r="F12" s="4">
        <v>92</v>
      </c>
      <c r="G12" s="1" t="str">
        <f>_xlfn.XLOOKUP(C12,Lookup!$A$3:$A$6,Lookup!$C$3:$C$6,"Not Found")</f>
        <v>Technology</v>
      </c>
      <c r="H12" s="1">
        <f t="shared" si="0"/>
        <v>1</v>
      </c>
    </row>
    <row r="13" spans="1:8" x14ac:dyDescent="0.3">
      <c r="A13" s="1">
        <v>12</v>
      </c>
      <c r="B13" s="1" t="s">
        <v>15</v>
      </c>
      <c r="C13" s="1" t="s">
        <v>12</v>
      </c>
      <c r="D13" s="1" t="s">
        <v>13</v>
      </c>
      <c r="E13" s="4">
        <v>42</v>
      </c>
      <c r="F13" s="4">
        <v>65</v>
      </c>
      <c r="G13" s="1" t="str">
        <f>_xlfn.XLOOKUP(C13,Lookup!$A$3:$A$6,Lookup!$C$3:$C$6,"Not Found")</f>
        <v>Technology</v>
      </c>
      <c r="H13" s="1">
        <f t="shared" si="0"/>
        <v>0</v>
      </c>
    </row>
    <row r="17" spans="1:2" x14ac:dyDescent="0.3">
      <c r="A17" s="2" t="s">
        <v>28</v>
      </c>
      <c r="B17" s="2" t="s">
        <v>29</v>
      </c>
    </row>
    <row r="18" spans="1:2" ht="28.8" x14ac:dyDescent="0.3">
      <c r="A18" s="3" t="s">
        <v>30</v>
      </c>
      <c r="B18" s="3">
        <v>13</v>
      </c>
    </row>
    <row r="19" spans="1:2" ht="28.8" x14ac:dyDescent="0.3">
      <c r="A19" s="3" t="s">
        <v>31</v>
      </c>
      <c r="B19" s="3">
        <v>12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B1D0-1A7D-4113-BACA-D5330C48D5D1}">
  <sheetPr>
    <tabColor theme="4" tint="-0.499984740745262"/>
  </sheetPr>
  <dimension ref="A1:E21"/>
  <sheetViews>
    <sheetView workbookViewId="0">
      <selection activeCell="I22" sqref="I22"/>
    </sheetView>
  </sheetViews>
  <sheetFormatPr defaultRowHeight="14.4" x14ac:dyDescent="0.3"/>
  <cols>
    <col min="1" max="1" width="17.109375" customWidth="1"/>
    <col min="2" max="2" width="15.5546875" bestFit="1" customWidth="1"/>
    <col min="3" max="4" width="5.5546875" bestFit="1" customWidth="1"/>
    <col min="5" max="5" width="10.77734375" bestFit="1" customWidth="1"/>
  </cols>
  <sheetData>
    <row r="1" spans="1:5" x14ac:dyDescent="0.3">
      <c r="A1" t="s">
        <v>33</v>
      </c>
    </row>
    <row r="3" spans="1:5" x14ac:dyDescent="0.3">
      <c r="A3" t="s">
        <v>34</v>
      </c>
      <c r="B3" t="s">
        <v>35</v>
      </c>
    </row>
    <row r="4" spans="1:5" x14ac:dyDescent="0.3">
      <c r="A4" t="s">
        <v>8</v>
      </c>
      <c r="B4">
        <f>COUNTIFS(Clean!$D:$D,A4,Clean!$H:$H,1)</f>
        <v>3</v>
      </c>
    </row>
    <row r="5" spans="1:5" x14ac:dyDescent="0.3">
      <c r="A5" t="s">
        <v>10</v>
      </c>
      <c r="B5">
        <f>COUNTIFS(Clean!$D:$D,A5,Clean!$H:$H,1)</f>
        <v>3</v>
      </c>
    </row>
    <row r="6" spans="1:5" x14ac:dyDescent="0.3">
      <c r="A6" t="s">
        <v>13</v>
      </c>
      <c r="B6">
        <f>COUNTIFS(Clean!$D:$D,A6,Clean!$H:$H,1)</f>
        <v>2</v>
      </c>
    </row>
    <row r="8" spans="1:5" x14ac:dyDescent="0.3">
      <c r="A8" s="8" t="s">
        <v>40</v>
      </c>
      <c r="B8" s="9"/>
      <c r="C8" s="9"/>
    </row>
    <row r="9" spans="1:5" x14ac:dyDescent="0.3">
      <c r="A9" s="6" t="s">
        <v>39</v>
      </c>
      <c r="B9" s="6" t="s">
        <v>38</v>
      </c>
    </row>
    <row r="10" spans="1:5" x14ac:dyDescent="0.3">
      <c r="A10" s="6" t="s">
        <v>36</v>
      </c>
      <c r="B10" t="s">
        <v>6</v>
      </c>
      <c r="C10" t="s">
        <v>14</v>
      </c>
      <c r="D10" t="s">
        <v>15</v>
      </c>
      <c r="E10" t="s">
        <v>37</v>
      </c>
    </row>
    <row r="11" spans="1:5" x14ac:dyDescent="0.3">
      <c r="A11" s="7" t="s">
        <v>22</v>
      </c>
      <c r="B11" s="4">
        <v>58.5</v>
      </c>
      <c r="C11" s="4">
        <v>67.5</v>
      </c>
      <c r="D11" s="4">
        <v>75</v>
      </c>
      <c r="E11" s="4">
        <v>67</v>
      </c>
    </row>
    <row r="12" spans="1:5" x14ac:dyDescent="0.3">
      <c r="A12" s="7" t="s">
        <v>25</v>
      </c>
      <c r="B12" s="4">
        <v>51.5</v>
      </c>
      <c r="C12" s="4">
        <v>58</v>
      </c>
      <c r="D12" s="4">
        <v>58.5</v>
      </c>
      <c r="E12" s="4">
        <v>56</v>
      </c>
    </row>
    <row r="13" spans="1:5" x14ac:dyDescent="0.3">
      <c r="A13" s="7" t="s">
        <v>37</v>
      </c>
      <c r="B13" s="4">
        <v>55</v>
      </c>
      <c r="C13" s="4">
        <v>62.75</v>
      </c>
      <c r="D13" s="4">
        <v>66.75</v>
      </c>
      <c r="E13" s="4">
        <v>61.5</v>
      </c>
    </row>
    <row r="21" ht="18.600000000000001" customHeight="1" x14ac:dyDescent="0.3"/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484B8E-E24C-4952-B22F-4ED6FB636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PATEL</dc:creator>
  <cp:lastModifiedBy>MANAN PATEL</cp:lastModifiedBy>
  <dcterms:created xsi:type="dcterms:W3CDTF">2026-09-26T06:30:11Z</dcterms:created>
  <dcterms:modified xsi:type="dcterms:W3CDTF">2026-09-26T08:35:52Z</dcterms:modified>
</cp:coreProperties>
</file>